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VAC Outreach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<sst xmlns="http://schemas.openxmlformats.org/spreadsheetml/2006/main" count="284" uniqueCount="220">
  <si>
    <t xml:space="preserve">Phoenix HVAC — Outreach Tracker</t>
  </si>
  <si>
    <t xml:space="preserve">Independent/family-owned HVAC companies, Phoenix metro. Sourced via Clay + Claude Code. Update Status/Outcome as you go.</t>
  </si>
  <si>
    <t xml:space="preserve">Total contacts:</t>
  </si>
  <si>
    <t xml:space="preserve">Contacted so far:</t>
  </si>
  <si>
    <t xml:space="preserve">High priority:</t>
  </si>
  <si>
    <t xml:space="preserve">Company</t>
  </si>
  <si>
    <t xml:space="preserve">Website</t>
  </si>
  <si>
    <t xml:space="preserve">Contact Name</t>
  </si>
  <si>
    <t xml:space="preserve">Title</t>
  </si>
  <si>
    <t xml:space="preserve">Email</t>
  </si>
  <si>
    <t xml:space="preserve">Phone</t>
  </si>
  <si>
    <t xml:space="preserve">Address</t>
  </si>
  <si>
    <t xml:space="preserve">Hours</t>
  </si>
  <si>
    <t xml:space="preserve">Independence Note</t>
  </si>
  <si>
    <t xml:space="preserve">Priority</t>
  </si>
  <si>
    <t xml:space="preserve">Status</t>
  </si>
  <si>
    <t xml:space="preserve">Contact Method</t>
  </si>
  <si>
    <t xml:space="preserve">Date Contacted</t>
  </si>
  <si>
    <t xml:space="preserve">Outcome / Next Step</t>
  </si>
  <si>
    <t xml:space="preserve">Research Notes</t>
  </si>
  <si>
    <t xml:space="preserve">McCall's Air Conditioning and Heating</t>
  </si>
  <si>
    <t xml:space="preserve">mccallsac.com</t>
  </si>
  <si>
    <t xml:space="preserve">Jenny McCall</t>
  </si>
  <si>
    <t xml:space="preserve">Co-Owner / Business Development Manager</t>
  </si>
  <si>
    <t xml:space="preserve">jenny@mccallsac.com</t>
  </si>
  <si>
    <t xml:space="preserve">+1 602-989-2245</t>
  </si>
  <si>
    <t xml:space="preserve">Mesa, AZ (East Valley)</t>
  </si>
  <si>
    <t xml:space="preserve">Not published</t>
  </si>
  <si>
    <t xml:space="preserve">Family-owned since 2004</t>
  </si>
  <si>
    <t xml:space="preserve">Standard</t>
  </si>
  <si>
    <t xml:space="preserve">Not contacted</t>
  </si>
  <si>
    <t xml:space="preserve">SKIP receptionist — reviews repeatedly praise named receptionist "Christine," already well-staffed. 326 reviews, 5.0 stars. Site-only candidate if pursued.</t>
  </si>
  <si>
    <t xml:space="preserve">Savage Air Conditioning</t>
  </si>
  <si>
    <t xml:space="preserve">savageac.com</t>
  </si>
  <si>
    <t xml:space="preserve">Jaime Savage</t>
  </si>
  <si>
    <t xml:space="preserve">Owner</t>
  </si>
  <si>
    <t xml:space="preserve">jsavage@savageac.com</t>
  </si>
  <si>
    <t xml:space="preserve">+1 505-215-6088</t>
  </si>
  <si>
    <t xml:space="preserve">2315 W. Fairmont Dr., Tempe, AZ 85282</t>
  </si>
  <si>
    <t xml:space="preserve">Not collected</t>
  </si>
  <si>
    <t xml:space="preserve">Family owned &amp; operated since 1988</t>
  </si>
  <si>
    <t xml:space="preserve">SKIP receptionist — established, sophisticated (503 reviews, 4.9 stars, active membership program/promos). No visible phone gap.</t>
  </si>
  <si>
    <t xml:space="preserve">Larson Air Conditioning, LLC</t>
  </si>
  <si>
    <t xml:space="preserve">larsonairaz.com</t>
  </si>
  <si>
    <t xml:space="preserve">Jared Larson</t>
  </si>
  <si>
    <t xml:space="preserve">jlarson@larsonairaz.com</t>
  </si>
  <si>
    <t xml:space="preserve">+1 602-361-9093</t>
  </si>
  <si>
    <t xml:space="preserve">7363 E Adobe Dr #101, Scottsdale, AZ 85255</t>
  </si>
  <si>
    <t xml:space="preserve">Family-owned</t>
  </si>
  <si>
    <t xml:space="preserve">Low (see note)</t>
  </si>
  <si>
    <t xml:space="preserve">SKIP receptionist — sophisticated (713 reviews, BBB Torch Award winner). "Cool Club SMART" membership program explicitly includes emergency after-hours coverage — already solved.</t>
  </si>
  <si>
    <t xml:space="preserve">Brocard Air Conditioning &amp; Heating</t>
  </si>
  <si>
    <t xml:space="preserve">brocardac.com</t>
  </si>
  <si>
    <t xml:space="preserve">Onaidi Gamez Brocard</t>
  </si>
  <si>
    <t xml:space="preserve">Business Owner</t>
  </si>
  <si>
    <t xml:space="preserve">onaidi@brocardac.com</t>
  </si>
  <si>
    <t xml:space="preserve">+1 407-545-1446</t>
  </si>
  <si>
    <t xml:space="preserve">Glendale, AZ (exact address not published)</t>
  </si>
  <si>
    <t xml:space="preserve">Local, family-owned (Universal AC LLC dba)</t>
  </si>
  <si>
    <t xml:space="preserve">STRONG CANDIDATE — true 2-person operation (owner Onaidi does all visible jobs himself, one CFO/admin). Real after-hours response story in reviews. No dedicated front-desk. Good receptionist fit.</t>
  </si>
  <si>
    <t xml:space="preserve">Dirti Ducts (HVAC Duct Cleaning)</t>
  </si>
  <si>
    <t xml:space="preserve">dirtiducts.com</t>
  </si>
  <si>
    <t xml:space="preserve">Shane Lizama</t>
  </si>
  <si>
    <t xml:space="preserve">Owner/Operator</t>
  </si>
  <si>
    <t xml:space="preserve">Not found</t>
  </si>
  <si>
    <t xml:space="preserve">+1 602-339-7006</t>
  </si>
  <si>
    <t xml:space="preserve">Phoenix/Glendale area</t>
  </si>
  <si>
    <t xml:space="preserve">Local, family &amp; woman-owned, 13+ yrs</t>
  </si>
  <si>
    <t xml:space="preserve">LOWER PRIORITY — niche (duct cleaning only, no emergency service per Angi), 2 co-owners + small team. One review mentions a phone "gatekeeper" before reaching owner Shane — some phone coverage already exists. Scheduling-only flow if pursued, no urgency angle.</t>
  </si>
  <si>
    <t xml:space="preserve">American Home Water &amp; Air</t>
  </si>
  <si>
    <t xml:space="preserve">americanhomewater.com</t>
  </si>
  <si>
    <t xml:space="preserve">Tom Atkinson &amp; Tom Knapp (founders)</t>
  </si>
  <si>
    <t xml:space="preserve">Founders; Glenn Rose is current VP Ops contact</t>
  </si>
  <si>
    <t xml:space="preserve">glenn@americanhomewater.com</t>
  </si>
  <si>
    <t xml:space="preserve">+1 602-538-6650</t>
  </si>
  <si>
    <t xml:space="preserve">2030 W Desert Cove Ave, Phoenix, AZ 85029</t>
  </si>
  <si>
    <t xml:space="preserve">Locally owned &amp; operated since 1985</t>
  </si>
  <si>
    <t xml:space="preserve">SKIP receptionist — owners explicitly market "always available to speak directly by phone." Matches Fit Framework skip rule (owner prefers manual process).</t>
  </si>
  <si>
    <t xml:space="preserve">AZ Perfect Comfort Heating &amp; Cooling</t>
  </si>
  <si>
    <t xml:space="preserve">azperfectcomfort.com</t>
  </si>
  <si>
    <t xml:space="preserve">Robin McCombs</t>
  </si>
  <si>
    <t xml:space="preserve">Co-Owner / Managing Partner</t>
  </si>
  <si>
    <t xml:space="preserve">robin@azperfectcomfort.com</t>
  </si>
  <si>
    <t xml:space="preserve">+1 623-256-2131</t>
  </si>
  <si>
    <t xml:space="preserve">20650 N 29th Pl STE 104, Phoenix, AZ 85050</t>
  </si>
  <si>
    <t xml:space="preserve">Veteran &amp; family owned since 2015</t>
  </si>
  <si>
    <t xml:space="preserve">SKIP receptionist — well-staffed (778 reviews). Explicit review: "answers the phone consistently and responsively." Named office staff (Stacy) and Ops Manager (Fred).</t>
  </si>
  <si>
    <t xml:space="preserve">1st AirCo Heating &amp; Cooling LLC</t>
  </si>
  <si>
    <t xml:space="preserve">1stairco.com</t>
  </si>
  <si>
    <t xml:space="preserve">Trevor Kear</t>
  </si>
  <si>
    <t xml:space="preserve">trevorkear@1stairco.com</t>
  </si>
  <si>
    <t xml:space="preserve">+1 623-201-9965</t>
  </si>
  <si>
    <t xml:space="preserve">20403 N Lake Pleasant Rd, Peoria, AZ 85382</t>
  </si>
  <si>
    <t xml:space="preserve">Family-owned, 18 yrs</t>
  </si>
  <si>
    <t xml:space="preserve">GOOD CANDIDATE — small (Trevor + wife Melissa in office). Real evidence of after-hours gap: one review describes an after-hours call not resolved until "lunchtime the next day."</t>
  </si>
  <si>
    <t xml:space="preserve">Lincoln Air &amp; Plumbing</t>
  </si>
  <si>
    <t xml:space="preserve">lincolnair.com</t>
  </si>
  <si>
    <t xml:space="preserve">Bob Lincoln</t>
  </si>
  <si>
    <t xml:space="preserve">President</t>
  </si>
  <si>
    <t xml:space="preserve">bob@lincolnair.com</t>
  </si>
  <si>
    <t xml:space="preserve">+1 602-405-4550</t>
  </si>
  <si>
    <t xml:space="preserve">625 W Deer Valley Suite 103, Phoenix, AZ 85027</t>
  </si>
  <si>
    <t xml:space="preserve">Locally owned &amp; operated</t>
  </si>
  <si>
    <t xml:space="preserve">High (24hr claim vs limited hours)</t>
  </si>
  <si>
    <t xml:space="preserve">HIGH PRIORITY — strongest contradiction found. Listed "Open 24 hours" on Yelp, but their OWN bio states: "If calling after hours please leave a voicemail and someone will return your call shortly." Confirmed gap in their own words. 339 reviews, 4.9 stars — real business.</t>
  </si>
  <si>
    <t xml:space="preserve">Urgent Air</t>
  </si>
  <si>
    <t xml:space="preserve">urgentair.com</t>
  </si>
  <si>
    <t xml:space="preserve">Tom Wade</t>
  </si>
  <si>
    <t xml:space="preserve">Small Business Owner</t>
  </si>
  <si>
    <t xml:space="preserve">tom@urgentair.com</t>
  </si>
  <si>
    <t xml:space="preserve">+1 602-377-1999</t>
  </si>
  <si>
    <t xml:space="preserve">Phoenix area (exact address not published)</t>
  </si>
  <si>
    <t xml:space="preserve">Explicitly 'privately-owned small business'</t>
  </si>
  <si>
    <t xml:space="preserve">GOOD CANDIDATE — genuinely small (Tom &amp; Gary Wade), 12-15 reviews, likely juggling own phones. Basic/generic site.</t>
  </si>
  <si>
    <t xml:space="preserve">Hughes Air Heating &amp; Cooling</t>
  </si>
  <si>
    <t xml:space="preserve">hughesairco.com</t>
  </si>
  <si>
    <t xml:space="preserve">Jim Hughes</t>
  </si>
  <si>
    <t xml:space="preserve">jim@hughesairco.com</t>
  </si>
  <si>
    <t xml:space="preserve">+1 480-861-2902</t>
  </si>
  <si>
    <t xml:space="preserve">220 West 6th Avenue, Mesa, AZ 85210</t>
  </si>
  <si>
    <t xml:space="preserve">Family-owned, locally owned</t>
  </si>
  <si>
    <t xml:space="preserve">GOOD CANDIDATE but VERIFY CONTACT — small team (Jim Hughes + a couple techs). One source references "Mike, the new owner" and a Mike@hughesairco.com contact — ownership may have changed since Clay scrape. Confirm before reaching out.</t>
  </si>
  <si>
    <t xml:space="preserve">Promise Heating &amp; Air</t>
  </si>
  <si>
    <t xml:space="preserve">promiseheatingandair.com</t>
  </si>
  <si>
    <t xml:space="preserve">Jesus Montes</t>
  </si>
  <si>
    <t xml:space="preserve">jmontes@promiseheatingandair.com</t>
  </si>
  <si>
    <t xml:space="preserve">(602) 363-0230</t>
  </si>
  <si>
    <t xml:space="preserve">2010 N 22nd Ave, Phoenix, AZ 85009</t>
  </si>
  <si>
    <t xml:space="preserve">Founded 1976, honesty/integrity story; central Phoenix</t>
  </si>
  <si>
    <t xml:space="preserve">Already assessed (see today's session) — strong SITE candidate. Expired 2022 coupon still live, stale since 2021, broken URL. Real business, real license.</t>
  </si>
  <si>
    <t xml:space="preserve">Island Breeze Air Conditioning &amp; Heating</t>
  </si>
  <si>
    <t xml:space="preserve">islandbreeze-ac.com</t>
  </si>
  <si>
    <t xml:space="preserve">Darrel S. Deokielal</t>
  </si>
  <si>
    <t xml:space="preserve">Owner/Member</t>
  </si>
  <si>
    <t xml:space="preserve">darrel@islandbreeze-ac.com</t>
  </si>
  <si>
    <t xml:space="preserve">(623) 692-6013</t>
  </si>
  <si>
    <t xml:space="preserve">809 E Fairmount Ave, Phoenix, AZ 85014</t>
  </si>
  <si>
    <t xml:space="preserve">Fireman-owned &amp; operated; central Phoenix</t>
  </si>
  <si>
    <t xml:space="preserve">Already assessed — SKIP both. Heavily agency-marketed (mgsites.net platform), sophisticated SEO presence, softer "after hours available" claim, likely active agency relationship.</t>
  </si>
  <si>
    <t xml:space="preserve">Benefit Air Conditioning</t>
  </si>
  <si>
    <t xml:space="preserve">benefitair.com</t>
  </si>
  <si>
    <t xml:space="preserve">Rebecca Anne Vargas ("Becky")</t>
  </si>
  <si>
    <t xml:space="preserve">info@benefitair.com</t>
  </si>
  <si>
    <t xml:space="preserve">(602) 840-9229</t>
  </si>
  <si>
    <t xml:space="preserve">1315 W Indian School Rd, Phoenix, AZ 85008</t>
  </si>
  <si>
    <t xml:space="preserve">Founded by Ken Dotterer, now run by daughter Becky; central Phoenix</t>
  </si>
  <si>
    <t xml:space="preserve">Already assessed — SKIP both. Very polished site (Phoenix Magazine Best of Valley x3, 4.9 stars), referral-based, no visible gap.</t>
  </si>
  <si>
    <t xml:space="preserve">Cooper Climate Control</t>
  </si>
  <si>
    <t xml:space="preserve">cooperclimatecontrol.com</t>
  </si>
  <si>
    <t xml:space="preserve">Kendall Ryan Cooper</t>
  </si>
  <si>
    <t xml:space="preserve">President/Owner</t>
  </si>
  <si>
    <t xml:space="preserve">480-460-7417</t>
  </si>
  <si>
    <t xml:space="preserve">170 S. William Dillard Dr Ste 110, Gilbert, AZ 85233</t>
  </si>
  <si>
    <t xml:space="preserve">Mon-Sat 7am-5pm</t>
  </si>
  <si>
    <t xml:space="preserve">Family owned &amp; operated</t>
  </si>
  <si>
    <t xml:space="preserve">STRONG CANDIDATE — true one-person operation. Owner Kendall personally manages every job quote-to-inspection, no office staff found across 250+ reviews. Likely hard to reach mid-job.</t>
  </si>
  <si>
    <t xml:space="preserve">Arizona Comfort Specialists</t>
  </si>
  <si>
    <t xml:space="preserve">arizonacomfortspecialists.com</t>
  </si>
  <si>
    <t xml:space="preserve">John &amp; Kathleen Miller</t>
  </si>
  <si>
    <t xml:space="preserve">President/Owners (husband-wife)</t>
  </si>
  <si>
    <t xml:space="preserve">office@arizonacomfortspecialists.com</t>
  </si>
  <si>
    <t xml:space="preserve">(602) 923-2889</t>
  </si>
  <si>
    <t xml:space="preserve">10631 N. Cave Creek Rd., Phoenix, AZ 85020</t>
  </si>
  <si>
    <t xml:space="preserve">M-F 7:30-4:30, Sat 8-12 (seasonal)</t>
  </si>
  <si>
    <t xml:space="preserve">Family owned &amp; operated since 2000</t>
  </si>
  <si>
    <t xml:space="preserve">SKIP receptionist — 26 years established, real office staff explicitly praised in reviews ("office staff are super friendly"). 192 reviews, well-staffed.</t>
  </si>
  <si>
    <t xml:space="preserve">Arizona Air Experts (AAE)</t>
  </si>
  <si>
    <t xml:space="preserve">azacexperts.com</t>
  </si>
  <si>
    <t xml:space="preserve">Darrin L. Maneth</t>
  </si>
  <si>
    <t xml:space="preserve">Member/Owner</t>
  </si>
  <si>
    <t xml:space="preserve">602-253-6995</t>
  </si>
  <si>
    <t xml:space="preserve">10645 N Tatum Blvd Ste 200-215, Phoenix, AZ 85028</t>
  </si>
  <si>
    <t xml:space="preserve">M-F 8-5, Sat-Sun 9-3</t>
  </si>
  <si>
    <t xml:space="preserve">Family owned since 2011</t>
  </si>
  <si>
    <t xml:space="preserve">SKIP receptionist — third owner Marija/Maria explicitly "oversees office administration," repeatedly praised in reviews for handling calls/scheduling. Already staffed.</t>
  </si>
  <si>
    <t xml:space="preserve">Arizona Family Air</t>
  </si>
  <si>
    <t xml:space="preserve">azfamilyair.com</t>
  </si>
  <si>
    <t xml:space="preserve">Not named on site</t>
  </si>
  <si>
    <t xml:space="preserve">Owner (unnamed)</t>
  </si>
  <si>
    <t xml:space="preserve">(480) 304-2665</t>
  </si>
  <si>
    <t xml:space="preserve">4904 S. Power Rd #103-454, Mesa, AZ</t>
  </si>
  <si>
    <t xml:space="preserve">24/7</t>
  </si>
  <si>
    <t xml:space="preserve">Local, family-owned since 2020</t>
  </si>
  <si>
    <t xml:space="preserve">Medium (verify 24/7 claim)</t>
  </si>
  <si>
    <t xml:space="preserve">GOOD CANDIDATE — genuinely small (17 FB likes, founded 2020), owner Rob does jobs personally. SITE ISSUE: own site claims "Over 15,000 Reviews!" — wildly inflated stock copy that doesn't match their real size. Real site opener + real receptionist gap.</t>
  </si>
  <si>
    <t xml:space="preserve">Preferred Air</t>
  </si>
  <si>
    <t xml:space="preserve">preferredairaz.com</t>
  </si>
  <si>
    <t xml:space="preserve">Craig Allen Gusse</t>
  </si>
  <si>
    <t xml:space="preserve">(602) 622-9851</t>
  </si>
  <si>
    <t xml:space="preserve">2942 North 24th Street, Phoenix, AZ 85016</t>
  </si>
  <si>
    <t xml:space="preserve">Locally owned; explicit anti-'large investor-driven firms' framing; central Phoenix</t>
  </si>
  <si>
    <t xml:space="preserve">MODERATE — small 4-person team (Craig + 3), no dedicated office role found. Closed weekends, no 24/7 claim at all (unlike Lincoln/Gonzales) — nights/weekends likely just unanswered rather than mishandled. Worth a mention, not top priority.</t>
  </si>
  <si>
    <t xml:space="preserve">Desert Diamond Air</t>
  </si>
  <si>
    <t xml:space="preserve">desertdiamondhvac.com</t>
  </si>
  <si>
    <t xml:space="preserve">Carlo Salvatore Cardella</t>
  </si>
  <si>
    <t xml:space="preserve">Owner (husband-wife founded, w/ Stacy Cardella)</t>
  </si>
  <si>
    <t xml:space="preserve">carlo@desertdiamondair.com</t>
  </si>
  <si>
    <t xml:space="preserve">602-362-4599</t>
  </si>
  <si>
    <t xml:space="preserve">16602 North 25th Avenue, Phoenix, AZ 85023 (+Sun City)</t>
  </si>
  <si>
    <t xml:space="preserve">24/7 emergency</t>
  </si>
  <si>
    <t xml:space="preserve">Privately/locally owned</t>
  </si>
  <si>
    <t xml:space="preserve">LOWER PRIORITY — grown to 7+ staff, real customer service reps mentioned in reviews, has a General Manager. 24/7 claim looks genuinely backed, not hollow.</t>
  </si>
  <si>
    <t xml:space="preserve">Way Cool Plumbing &amp; Air</t>
  </si>
  <si>
    <t xml:space="preserve">callwaycool.com</t>
  </si>
  <si>
    <t xml:space="preserve">Konnor Buscho</t>
  </si>
  <si>
    <t xml:space="preserve">Owner, Director of Marketing</t>
  </si>
  <si>
    <t xml:space="preserve">konnor@callwaycool.com</t>
  </si>
  <si>
    <t xml:space="preserve">+1 480-229-6292</t>
  </si>
  <si>
    <t xml:space="preserve">2328 E. Van Buren St Suite 121, Phoenix, AZ 85006</t>
  </si>
  <si>
    <t xml:space="preserve">M-F 7am-10pm, Sat-Sun 8am-8pm</t>
  </si>
  <si>
    <t xml:space="preserve">CAUTION: family-run 3 generations, but now $25-75M revenue &amp; actively acquiring other HVAC companies; central Phoenix</t>
  </si>
  <si>
    <t xml:space="preserve">SKIP — own data already flagged CAUTION: now $25-75M revenue, actively acquiring other HVAC companies. Not a small independent anymore.</t>
  </si>
  <si>
    <t xml:space="preserve">Gonzales Heating &amp; Cooling</t>
  </si>
  <si>
    <t xml:space="preserve">gonzaleshc.com</t>
  </si>
  <si>
    <t xml:space="preserve">Paul Macias Gonzales Jr. ("Sonny")</t>
  </si>
  <si>
    <t xml:space="preserve">602-253-2977</t>
  </si>
  <si>
    <t xml:space="preserve">1547 Grand Ave, Phoenix, AZ 85007</t>
  </si>
  <si>
    <t xml:space="preserve">Mon-Fri 7am-4:30pm, Sat-Sun closed (24hr emergency service available)</t>
  </si>
  <si>
    <t xml:space="preserve">Founded 1980 by Paul Gonzales Sr., now run by son "Sonny"; central/downtown-adjacent Phoenix (Grand Ave)</t>
  </si>
  <si>
    <t xml:space="preserve">Already assessed today — HIGH priority. Visited in person, found closed, manager ("Sonny") back Monday. Confirmed 24hr-emergency-vs-closed-weekends contradiction.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</si>
</sst>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9"/>
      <color rgb="FFB052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04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B0521F"/>
      <rgbColor rgb="FF993366"/>
      <rgbColor rgb="FF333399"/>
      <rgbColor rgb="FF1B2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5" min="4" style="1" width="26"/>
    <col collapsed="false" customWidth="true" hidden="false" outlineLevel="0" max="6" min="6" style="1" width="16"/>
    <col collapsed="false" customWidth="true" hidden="false" outlineLevel="0" max="7" min="7" style="1" width="32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24"/>
    <col collapsed="false" customWidth="true" hidden="false" outlineLevel="0" max="11" min="11" style="1" width="15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30"/>
    <col collapsed="false" customWidth="true" hidden="false" outlineLevel="0" max="15" min="15" style="1" width="4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5" t="n">
        <f aca="false">COUNTA(A5:A26)</f>
        <v>22</v>
      </c>
      <c r="D3" s="4" t="s">
        <v>3</v>
      </c>
      <c r="E3" s="5" t="n">
        <f aca="false">COUNTIF(K5:K26,"&lt;&gt;Not contacted")</f>
        <v>0</v>
      </c>
      <c r="G3" s="4" t="s">
        <v>4</v>
      </c>
      <c r="H3" s="5" t="n">
        <f aca="false">COUNTIF(J5:J26,"High*")</f>
        <v>3</v>
      </c>
    </row>
    <row r="4" customFormat="false" ht="30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</row>
    <row r="5" customFormat="false" ht="21.75" hidden="false" customHeight="true" outlineLevel="0" collapsed="false">
      <c r="A5" s="7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7"/>
      <c r="M5" s="7"/>
      <c r="N5" s="7"/>
      <c r="O5" s="7" t="s">
        <v>31</v>
      </c>
    </row>
    <row r="6" customFormat="false" ht="15" hidden="false" customHeight="true" outlineLevel="0" collapsed="false">
      <c r="A6" s="7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7" t="s">
        <v>39</v>
      </c>
      <c r="I6" s="7" t="s">
        <v>40</v>
      </c>
      <c r="J6" s="7" t="s">
        <v>29</v>
      </c>
      <c r="K6" s="7" t="s">
        <v>30</v>
      </c>
      <c r="L6" s="7"/>
      <c r="M6" s="7"/>
      <c r="N6" s="7"/>
      <c r="O6" s="7" t="s">
        <v>41</v>
      </c>
    </row>
    <row r="7" customFormat="false" ht="21.75" hidden="false" customHeight="true" outlineLevel="0" collapsed="false">
      <c r="A7" s="7" t="s">
        <v>42</v>
      </c>
      <c r="B7" s="7" t="s">
        <v>43</v>
      </c>
      <c r="C7" s="7" t="s">
        <v>44</v>
      </c>
      <c r="D7" s="7" t="s">
        <v>35</v>
      </c>
      <c r="E7" s="7" t="s">
        <v>45</v>
      </c>
      <c r="F7" s="7" t="s">
        <v>46</v>
      </c>
      <c r="G7" s="7" t="s">
        <v>47</v>
      </c>
      <c r="H7" s="7" t="s">
        <v>39</v>
      </c>
      <c r="I7" s="7" t="s">
        <v>48</v>
      </c>
      <c r="J7" s="8" t="s">
        <v>49</v>
      </c>
      <c r="K7" s="7" t="s">
        <v>30</v>
      </c>
      <c r="L7" s="7"/>
      <c r="M7" s="7"/>
      <c r="N7" s="7"/>
      <c r="O7" s="7" t="s">
        <v>50</v>
      </c>
    </row>
    <row r="8" customFormat="false" ht="21.75" hidden="false" customHeight="true" outlineLevel="0" collapsed="false">
      <c r="A8" s="7" t="s">
        <v>51</v>
      </c>
      <c r="B8" s="7" t="s">
        <v>52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7" t="s">
        <v>39</v>
      </c>
      <c r="I8" s="7" t="s">
        <v>58</v>
      </c>
      <c r="J8" s="7" t="s">
        <v>29</v>
      </c>
      <c r="K8" s="7" t="s">
        <v>30</v>
      </c>
      <c r="L8" s="7"/>
      <c r="M8" s="7"/>
      <c r="N8" s="7"/>
      <c r="O8" s="7" t="s">
        <v>59</v>
      </c>
    </row>
    <row r="9" customFormat="false" ht="15" hidden="false" customHeight="true" outlineLevel="0" collapsed="false">
      <c r="A9" s="7" t="s">
        <v>60</v>
      </c>
      <c r="B9" s="7" t="s">
        <v>61</v>
      </c>
      <c r="C9" s="7" t="s">
        <v>62</v>
      </c>
      <c r="D9" s="7" t="s">
        <v>63</v>
      </c>
      <c r="E9" s="7" t="s">
        <v>64</v>
      </c>
      <c r="F9" s="7" t="s">
        <v>65</v>
      </c>
      <c r="G9" s="7" t="s">
        <v>66</v>
      </c>
      <c r="H9" s="7" t="s">
        <v>39</v>
      </c>
      <c r="I9" s="7" t="s">
        <v>67</v>
      </c>
      <c r="J9" s="7" t="s">
        <v>29</v>
      </c>
      <c r="K9" s="7" t="s">
        <v>30</v>
      </c>
      <c r="L9" s="7"/>
      <c r="M9" s="7"/>
      <c r="N9" s="7"/>
      <c r="O9" s="7" t="s">
        <v>68</v>
      </c>
    </row>
    <row r="10" customFormat="false" ht="21.75" hidden="false" customHeight="true" outlineLevel="0" collapsed="false">
      <c r="A10" s="7" t="s">
        <v>69</v>
      </c>
      <c r="B10" s="7" t="s">
        <v>70</v>
      </c>
      <c r="C10" s="7" t="s">
        <v>71</v>
      </c>
      <c r="D10" s="7" t="s">
        <v>72</v>
      </c>
      <c r="E10" s="7" t="s">
        <v>73</v>
      </c>
      <c r="F10" s="7" t="s">
        <v>74</v>
      </c>
      <c r="G10" s="7" t="s">
        <v>75</v>
      </c>
      <c r="H10" s="7" t="s">
        <v>39</v>
      </c>
      <c r="I10" s="7" t="s">
        <v>76</v>
      </c>
      <c r="J10" s="7" t="s">
        <v>29</v>
      </c>
      <c r="K10" s="7" t="s">
        <v>30</v>
      </c>
      <c r="L10" s="7"/>
      <c r="M10" s="7"/>
      <c r="N10" s="7"/>
      <c r="O10" s="7" t="s">
        <v>77</v>
      </c>
    </row>
    <row r="11" customFormat="false" ht="21.75" hidden="false" customHeight="true" outlineLevel="0" collapsed="false">
      <c r="A11" s="7" t="s">
        <v>78</v>
      </c>
      <c r="B11" s="7" t="s">
        <v>79</v>
      </c>
      <c r="C11" s="7" t="s">
        <v>80</v>
      </c>
      <c r="D11" s="7" t="s">
        <v>81</v>
      </c>
      <c r="E11" s="7" t="s">
        <v>82</v>
      </c>
      <c r="F11" s="7" t="s">
        <v>83</v>
      </c>
      <c r="G11" s="7" t="s">
        <v>84</v>
      </c>
      <c r="H11" s="7" t="s">
        <v>39</v>
      </c>
      <c r="I11" s="7" t="s">
        <v>85</v>
      </c>
      <c r="J11" s="8" t="s">
        <v>49</v>
      </c>
      <c r="K11" s="7" t="s">
        <v>30</v>
      </c>
      <c r="L11" s="7"/>
      <c r="M11" s="7"/>
      <c r="N11" s="7"/>
      <c r="O11" s="7" t="s">
        <v>86</v>
      </c>
    </row>
    <row r="12" customFormat="false" ht="21.75" hidden="false" customHeight="true" outlineLevel="0" collapsed="false">
      <c r="A12" s="7" t="s">
        <v>87</v>
      </c>
      <c r="B12" s="7" t="s">
        <v>88</v>
      </c>
      <c r="C12" s="7" t="s">
        <v>89</v>
      </c>
      <c r="D12" s="7" t="s">
        <v>35</v>
      </c>
      <c r="E12" s="7" t="s">
        <v>90</v>
      </c>
      <c r="F12" s="7" t="s">
        <v>91</v>
      </c>
      <c r="G12" s="7" t="s">
        <v>92</v>
      </c>
      <c r="H12" s="7" t="s">
        <v>39</v>
      </c>
      <c r="I12" s="7" t="s">
        <v>93</v>
      </c>
      <c r="J12" s="7" t="s">
        <v>29</v>
      </c>
      <c r="K12" s="7" t="s">
        <v>30</v>
      </c>
      <c r="L12" s="7"/>
      <c r="M12" s="7"/>
      <c r="N12" s="7"/>
      <c r="O12" s="7" t="s">
        <v>94</v>
      </c>
    </row>
    <row r="13" customFormat="false" ht="21.75" hidden="false" customHeight="true" outlineLevel="0" collapsed="false">
      <c r="A13" s="7" t="s">
        <v>95</v>
      </c>
      <c r="B13" s="7" t="s">
        <v>96</v>
      </c>
      <c r="C13" s="7" t="s">
        <v>97</v>
      </c>
      <c r="D13" s="7" t="s">
        <v>98</v>
      </c>
      <c r="E13" s="7" t="s">
        <v>99</v>
      </c>
      <c r="F13" s="7" t="s">
        <v>100</v>
      </c>
      <c r="G13" s="7" t="s">
        <v>101</v>
      </c>
      <c r="H13" s="7" t="s">
        <v>39</v>
      </c>
      <c r="I13" s="7" t="s">
        <v>102</v>
      </c>
      <c r="J13" s="9" t="s">
        <v>103</v>
      </c>
      <c r="K13" s="7" t="s">
        <v>30</v>
      </c>
      <c r="L13" s="7"/>
      <c r="M13" s="7"/>
      <c r="N13" s="7"/>
      <c r="O13" s="7" t="s">
        <v>104</v>
      </c>
    </row>
    <row r="14" customFormat="false" ht="21.75" hidden="false" customHeight="true" outlineLevel="0" collapsed="false">
      <c r="A14" s="7" t="s">
        <v>105</v>
      </c>
      <c r="B14" s="7" t="s">
        <v>106</v>
      </c>
      <c r="C14" s="7" t="s">
        <v>107</v>
      </c>
      <c r="D14" s="7" t="s">
        <v>108</v>
      </c>
      <c r="E14" s="7" t="s">
        <v>109</v>
      </c>
      <c r="F14" s="7" t="s">
        <v>110</v>
      </c>
      <c r="G14" s="7" t="s">
        <v>111</v>
      </c>
      <c r="H14" s="7" t="s">
        <v>39</v>
      </c>
      <c r="I14" s="7" t="s">
        <v>112</v>
      </c>
      <c r="J14" s="7" t="s">
        <v>29</v>
      </c>
      <c r="K14" s="7" t="s">
        <v>30</v>
      </c>
      <c r="L14" s="7"/>
      <c r="M14" s="7"/>
      <c r="N14" s="7"/>
      <c r="O14" s="7" t="s">
        <v>113</v>
      </c>
    </row>
    <row r="15" customFormat="false" ht="15" hidden="false" customHeight="true" outlineLevel="0" collapsed="false">
      <c r="A15" s="7" t="s">
        <v>114</v>
      </c>
      <c r="B15" s="7" t="s">
        <v>115</v>
      </c>
      <c r="C15" s="7" t="s">
        <v>116</v>
      </c>
      <c r="D15" s="7" t="s">
        <v>35</v>
      </c>
      <c r="E15" s="7" t="s">
        <v>117</v>
      </c>
      <c r="F15" s="7" t="s">
        <v>118</v>
      </c>
      <c r="G15" s="7" t="s">
        <v>119</v>
      </c>
      <c r="H15" s="7" t="s">
        <v>39</v>
      </c>
      <c r="I15" s="7" t="s">
        <v>120</v>
      </c>
      <c r="J15" s="7" t="s">
        <v>29</v>
      </c>
      <c r="K15" s="7" t="s">
        <v>30</v>
      </c>
      <c r="L15" s="7"/>
      <c r="M15" s="7"/>
      <c r="N15" s="7"/>
      <c r="O15" s="7" t="s">
        <v>121</v>
      </c>
    </row>
    <row r="16" customFormat="false" ht="21.75" hidden="false" customHeight="true" outlineLevel="0" collapsed="false">
      <c r="A16" s="7" t="s">
        <v>122</v>
      </c>
      <c r="B16" s="7" t="s">
        <v>123</v>
      </c>
      <c r="C16" s="7" t="s">
        <v>124</v>
      </c>
      <c r="D16" s="7" t="s">
        <v>35</v>
      </c>
      <c r="E16" s="7" t="s">
        <v>125</v>
      </c>
      <c r="F16" s="7" t="s">
        <v>126</v>
      </c>
      <c r="G16" s="7" t="s">
        <v>127</v>
      </c>
      <c r="H16" s="7" t="s">
        <v>27</v>
      </c>
      <c r="I16" s="7" t="s">
        <v>128</v>
      </c>
      <c r="J16" s="7" t="s">
        <v>29</v>
      </c>
      <c r="K16" s="7" t="s">
        <v>30</v>
      </c>
      <c r="L16" s="7"/>
      <c r="M16" s="7"/>
      <c r="N16" s="7"/>
      <c r="O16" s="7" t="s">
        <v>129</v>
      </c>
    </row>
    <row r="17" customFormat="false" ht="21.75" hidden="false" customHeight="true" outlineLevel="0" collapsed="false">
      <c r="A17" s="7" t="s">
        <v>130</v>
      </c>
      <c r="B17" s="7" t="s">
        <v>131</v>
      </c>
      <c r="C17" s="7" t="s">
        <v>132</v>
      </c>
      <c r="D17" s="7" t="s">
        <v>133</v>
      </c>
      <c r="E17" s="7" t="s">
        <v>134</v>
      </c>
      <c r="F17" s="7" t="s">
        <v>135</v>
      </c>
      <c r="G17" s="7" t="s">
        <v>136</v>
      </c>
      <c r="H17" s="7" t="s">
        <v>27</v>
      </c>
      <c r="I17" s="7" t="s">
        <v>137</v>
      </c>
      <c r="J17" s="7" t="s">
        <v>29</v>
      </c>
      <c r="K17" s="7" t="s">
        <v>30</v>
      </c>
      <c r="L17" s="7"/>
      <c r="M17" s="7"/>
      <c r="N17" s="7"/>
      <c r="O17" s="7" t="s">
        <v>138</v>
      </c>
    </row>
    <row r="18" customFormat="false" ht="21.75" hidden="false" customHeight="true" outlineLevel="0" collapsed="false">
      <c r="A18" s="7" t="s">
        <v>139</v>
      </c>
      <c r="B18" s="7" t="s">
        <v>140</v>
      </c>
      <c r="C18" s="7" t="s">
        <v>141</v>
      </c>
      <c r="D18" s="7" t="s">
        <v>133</v>
      </c>
      <c r="E18" s="7" t="s">
        <v>142</v>
      </c>
      <c r="F18" s="7" t="s">
        <v>143</v>
      </c>
      <c r="G18" s="7" t="s">
        <v>144</v>
      </c>
      <c r="H18" s="7" t="s">
        <v>27</v>
      </c>
      <c r="I18" s="7" t="s">
        <v>145</v>
      </c>
      <c r="J18" s="7" t="s">
        <v>29</v>
      </c>
      <c r="K18" s="7" t="s">
        <v>30</v>
      </c>
      <c r="L18" s="7"/>
      <c r="M18" s="7"/>
      <c r="N18" s="7"/>
      <c r="O18" s="7" t="s">
        <v>146</v>
      </c>
    </row>
    <row r="19" customFormat="false" ht="21.75" hidden="false" customHeight="true" outlineLevel="0" collapsed="false">
      <c r="A19" s="7" t="s">
        <v>147</v>
      </c>
      <c r="B19" s="7" t="s">
        <v>148</v>
      </c>
      <c r="C19" s="7" t="s">
        <v>149</v>
      </c>
      <c r="D19" s="7" t="s">
        <v>150</v>
      </c>
      <c r="E19" s="7" t="s">
        <v>64</v>
      </c>
      <c r="F19" s="7" t="s">
        <v>151</v>
      </c>
      <c r="G19" s="7" t="s">
        <v>152</v>
      </c>
      <c r="H19" s="7" t="s">
        <v>153</v>
      </c>
      <c r="I19" s="7" t="s">
        <v>154</v>
      </c>
      <c r="J19" s="9" t="s">
        <v>103</v>
      </c>
      <c r="K19" s="7" t="s">
        <v>30</v>
      </c>
      <c r="L19" s="7"/>
      <c r="M19" s="7"/>
      <c r="N19" s="7"/>
      <c r="O19" s="7" t="s">
        <v>155</v>
      </c>
    </row>
    <row r="20" customFormat="false" ht="21.75" hidden="false" customHeight="true" outlineLevel="0" collapsed="false">
      <c r="A20" s="7" t="s">
        <v>156</v>
      </c>
      <c r="B20" s="7" t="s">
        <v>157</v>
      </c>
      <c r="C20" s="7" t="s">
        <v>158</v>
      </c>
      <c r="D20" s="7" t="s">
        <v>159</v>
      </c>
      <c r="E20" s="7" t="s">
        <v>160</v>
      </c>
      <c r="F20" s="7" t="s">
        <v>161</v>
      </c>
      <c r="G20" s="7" t="s">
        <v>162</v>
      </c>
      <c r="H20" s="7" t="s">
        <v>163</v>
      </c>
      <c r="I20" s="7" t="s">
        <v>164</v>
      </c>
      <c r="J20" s="8" t="s">
        <v>49</v>
      </c>
      <c r="K20" s="7" t="s">
        <v>30</v>
      </c>
      <c r="L20" s="7"/>
      <c r="M20" s="7"/>
      <c r="N20" s="7"/>
      <c r="O20" s="7" t="s">
        <v>165</v>
      </c>
    </row>
    <row r="21" customFormat="false" ht="21.75" hidden="false" customHeight="true" outlineLevel="0" collapsed="false">
      <c r="A21" s="7" t="s">
        <v>166</v>
      </c>
      <c r="B21" s="7" t="s">
        <v>167</v>
      </c>
      <c r="C21" s="7" t="s">
        <v>168</v>
      </c>
      <c r="D21" s="7" t="s">
        <v>169</v>
      </c>
      <c r="E21" s="7" t="s">
        <v>64</v>
      </c>
      <c r="F21" s="7" t="s">
        <v>170</v>
      </c>
      <c r="G21" s="7" t="s">
        <v>171</v>
      </c>
      <c r="H21" s="7" t="s">
        <v>172</v>
      </c>
      <c r="I21" s="7" t="s">
        <v>173</v>
      </c>
      <c r="J21" s="8" t="s">
        <v>49</v>
      </c>
      <c r="K21" s="7" t="s">
        <v>30</v>
      </c>
      <c r="L21" s="7"/>
      <c r="M21" s="7"/>
      <c r="N21" s="7"/>
      <c r="O21" s="7" t="s">
        <v>174</v>
      </c>
    </row>
    <row r="22" customFormat="false" ht="15" hidden="false" customHeight="true" outlineLevel="0" collapsed="false">
      <c r="A22" s="7" t="s">
        <v>175</v>
      </c>
      <c r="B22" s="7" t="s">
        <v>176</v>
      </c>
      <c r="C22" s="7" t="s">
        <v>177</v>
      </c>
      <c r="D22" s="7" t="s">
        <v>178</v>
      </c>
      <c r="E22" s="7" t="s">
        <v>64</v>
      </c>
      <c r="F22" s="7" t="s">
        <v>179</v>
      </c>
      <c r="G22" s="7" t="s">
        <v>180</v>
      </c>
      <c r="H22" s="7" t="s">
        <v>181</v>
      </c>
      <c r="I22" s="7" t="s">
        <v>182</v>
      </c>
      <c r="J22" s="7" t="s">
        <v>183</v>
      </c>
      <c r="K22" s="7" t="s">
        <v>30</v>
      </c>
      <c r="L22" s="7"/>
      <c r="M22" s="7"/>
      <c r="N22" s="7"/>
      <c r="O22" s="7" t="s">
        <v>184</v>
      </c>
    </row>
    <row r="23" customFormat="false" ht="21.75" hidden="false" customHeight="true" outlineLevel="0" collapsed="false">
      <c r="A23" s="7" t="s">
        <v>185</v>
      </c>
      <c r="B23" s="7" t="s">
        <v>186</v>
      </c>
      <c r="C23" s="7" t="s">
        <v>187</v>
      </c>
      <c r="D23" s="7" t="s">
        <v>169</v>
      </c>
      <c r="E23" s="7" t="s">
        <v>64</v>
      </c>
      <c r="F23" s="7" t="s">
        <v>188</v>
      </c>
      <c r="G23" s="7" t="s">
        <v>189</v>
      </c>
      <c r="H23" s="7" t="s">
        <v>27</v>
      </c>
      <c r="I23" s="7" t="s">
        <v>190</v>
      </c>
      <c r="J23" s="7" t="s">
        <v>29</v>
      </c>
      <c r="K23" s="7" t="s">
        <v>30</v>
      </c>
      <c r="L23" s="7"/>
      <c r="M23" s="7"/>
      <c r="N23" s="7"/>
      <c r="O23" s="7" t="s">
        <v>191</v>
      </c>
    </row>
    <row r="24" customFormat="false" ht="21.75" hidden="false" customHeight="true" outlineLevel="0" collapsed="false">
      <c r="A24" s="7" t="s">
        <v>192</v>
      </c>
      <c r="B24" s="7" t="s">
        <v>193</v>
      </c>
      <c r="C24" s="7" t="s">
        <v>194</v>
      </c>
      <c r="D24" s="7" t="s">
        <v>195</v>
      </c>
      <c r="E24" s="7" t="s">
        <v>196</v>
      </c>
      <c r="F24" s="7" t="s">
        <v>197</v>
      </c>
      <c r="G24" s="7" t="s">
        <v>198</v>
      </c>
      <c r="H24" s="7" t="s">
        <v>199</v>
      </c>
      <c r="I24" s="7" t="s">
        <v>200</v>
      </c>
      <c r="J24" s="7" t="s">
        <v>183</v>
      </c>
      <c r="K24" s="7" t="s">
        <v>30</v>
      </c>
      <c r="L24" s="7"/>
      <c r="M24" s="7"/>
      <c r="N24" s="7"/>
      <c r="O24" s="7" t="s">
        <v>201</v>
      </c>
    </row>
    <row r="25" customFormat="false" ht="32.25" hidden="false" customHeight="true" outlineLevel="0" collapsed="false">
      <c r="A25" s="7" t="s">
        <v>202</v>
      </c>
      <c r="B25" s="7" t="s">
        <v>203</v>
      </c>
      <c r="C25" s="7" t="s">
        <v>204</v>
      </c>
      <c r="D25" s="7" t="s">
        <v>205</v>
      </c>
      <c r="E25" s="7" t="s">
        <v>206</v>
      </c>
      <c r="F25" s="7" t="s">
        <v>207</v>
      </c>
      <c r="G25" s="7" t="s">
        <v>208</v>
      </c>
      <c r="H25" s="7" t="s">
        <v>209</v>
      </c>
      <c r="I25" s="7" t="s">
        <v>210</v>
      </c>
      <c r="J25" s="8" t="s">
        <v>49</v>
      </c>
      <c r="K25" s="7" t="s">
        <v>30</v>
      </c>
      <c r="L25" s="7"/>
      <c r="M25" s="7"/>
      <c r="N25" s="7"/>
      <c r="O25" s="7" t="s">
        <v>211</v>
      </c>
    </row>
    <row r="26" customFormat="false" ht="32.25" hidden="false" customHeight="true" outlineLevel="0" collapsed="false">
      <c r="A26" s="7" t="s">
        <v>212</v>
      </c>
      <c r="B26" s="7" t="s">
        <v>213</v>
      </c>
      <c r="C26" s="7" t="s">
        <v>214</v>
      </c>
      <c r="D26" s="7" t="s">
        <v>150</v>
      </c>
      <c r="E26" s="7" t="s">
        <v>64</v>
      </c>
      <c r="F26" s="7" t="s">
        <v>215</v>
      </c>
      <c r="G26" s="7" t="s">
        <v>216</v>
      </c>
      <c r="H26" s="7" t="s">
        <v>217</v>
      </c>
      <c r="I26" s="7" t="s">
        <v>218</v>
      </c>
      <c r="J26" s="9" t="s">
        <v>103</v>
      </c>
      <c r="K26" s="7" t="s">
        <v>30</v>
      </c>
      <c r="L26" s="7"/>
      <c r="M26" s="7"/>
      <c r="N26" s="7"/>
      <c r="O26" s="7" t="s">
        <v>219</v>
      </c>
    </row>
  </sheetData>
  <mergeCells count="2">
    <mergeCell ref="A1:N1"/>
    <mergeCell ref="A2:N2"/>
  </mergeCells>
  <dataValidations count="3">
    <dataValidation allowBlank="true" errorStyle="stop" operator="between" showDropDown="false" showErrorMessage="false" showInputMessage="false" sqref="K5:K26" type="list">
      <formula1>"Not contacted,Attempted - no answer,Left card/note,Spoke with staff,Spoke with owner,Interested,Not interested,Follow-up scheduled"</formula1>
      <formula2>0</formula2>
    </dataValidation>
    <dataValidation allowBlank="true" errorStyle="stop" operator="between" showDropDown="false" showErrorMessage="false" showInputMessage="false" sqref="L5:L26" type="list">
      <formula1>"Walk-in,Phone call,Email,Left card"</formula1>
      <formula2>0</formula2>
    </dataValidation>
    <dataValidation allowBlank="true" errorStyle="stop" operator="between" showDropDown="false" showErrorMessage="false" showInputMessage="false" sqref="J5:J26" type="list">
      <formula1>"High (24hr claim vs limited hours),Medium (verify 24/7 claim),Standard,Low (see note)"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2026-07-28T23:58:50Z</dcterms:created>
  <dc:creator>openpyxl</dc:creator>
  <dc:description/>
  <dc:language>en-US</dc:language>
  <cp:lastModifiedBy/>
  <dcterms:modified xsi:type="dcterms:W3CDTF">2026-07-29T00:10:17Z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